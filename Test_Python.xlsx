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essa Heidy\Desktop\BAAI\BAAI\"/>
    </mc:Choice>
  </mc:AlternateContent>
  <xr:revisionPtr revIDLastSave="0" documentId="13_ncr:1_{DD693784-D9F1-409D-9B64-3CDDBBA92149}" xr6:coauthVersionLast="47" xr6:coauthVersionMax="47" xr10:uidLastSave="{00000000-0000-0000-0000-000000000000}"/>
  <bookViews>
    <workbookView xWindow="-2100" yWindow="1680" windowWidth="17280" windowHeight="8880" activeTab="1" xr2:uid="{A072CFD2-6E85-443B-9C7B-08A17453E7C9}"/>
  </bookViews>
  <sheets>
    <sheet name="Sheet1" sheetId="2" r:id="rId1"/>
    <sheet name="Main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D14" i="1"/>
  <c r="E14" i="1"/>
  <c r="F14" i="1"/>
  <c r="B14" i="1"/>
</calcChain>
</file>

<file path=xl/sharedStrings.xml><?xml version="1.0" encoding="utf-8"?>
<sst xmlns="http://schemas.openxmlformats.org/spreadsheetml/2006/main" count="36" uniqueCount="30">
  <si>
    <t>Stock_Price</t>
  </si>
  <si>
    <t>Net_Income</t>
  </si>
  <si>
    <t>EPS</t>
  </si>
  <si>
    <t>Market_Return</t>
  </si>
  <si>
    <t>EBITDA_Margin</t>
  </si>
  <si>
    <t>Current_Ratio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</si>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</sst>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p&quot;#,##0&quot;B&quot;"/>
    <numFmt numFmtId="165" formatCode="&quot;Rp&quot;#,##0"/>
    <numFmt numFmtId="166" formatCode="&quot;Rp&quot;#.##0###&quot;B&quot;"/>
    <numFmt numFmtId="168" formatCode="0.0"/>
  </numFmts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2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FAD8-9B8F-48E2-B1AC-1166B2A13BAF}">
  <dimension ref="A1:I22"/>
  <sheetViews>
    <sheetView workbookViewId="0">
      <selection activeCell="C8" sqref="A3:C8"/>
    </sheetView>
  </sheetViews>
  <sheetFormatPr defaultRowHeight="14.4" x14ac:dyDescent="0.3"/>
  <sheetData>
    <row r="1" spans="1:9" x14ac:dyDescent="0.3">
      <c r="A1" t="s">
        <v>6</v>
      </c>
    </row>
    <row r="2" spans="1:9" ht="15" thickBot="1" x14ac:dyDescent="0.35"/>
    <row r="3" spans="1:9" x14ac:dyDescent="0.3">
      <c r="A3" s="12" t="s">
        <v>7</v>
      </c>
      <c r="B3" s="12"/>
    </row>
    <row r="4" spans="1:9" x14ac:dyDescent="0.3">
      <c r="A4" s="9" t="s">
        <v>8</v>
      </c>
      <c r="B4" s="9">
        <v>0.87047486504034921</v>
      </c>
    </row>
    <row r="5" spans="1:9" x14ac:dyDescent="0.3">
      <c r="A5" s="9" t="s">
        <v>9</v>
      </c>
      <c r="B5" s="9">
        <v>0.75772649066701414</v>
      </c>
    </row>
    <row r="6" spans="1:9" x14ac:dyDescent="0.3">
      <c r="A6" s="9" t="s">
        <v>10</v>
      </c>
      <c r="B6" s="9">
        <v>0.51545298133402828</v>
      </c>
    </row>
    <row r="7" spans="1:9" x14ac:dyDescent="0.3">
      <c r="A7" s="9" t="s">
        <v>11</v>
      </c>
      <c r="B7" s="9">
        <v>1920.9021244323726</v>
      </c>
    </row>
    <row r="8" spans="1:9" ht="15" thickBot="1" x14ac:dyDescent="0.35">
      <c r="A8" s="10" t="s">
        <v>12</v>
      </c>
      <c r="B8" s="10">
        <v>11</v>
      </c>
    </row>
    <row r="10" spans="1:9" ht="15" thickBot="1" x14ac:dyDescent="0.35">
      <c r="A10" t="s">
        <v>13</v>
      </c>
    </row>
    <row r="11" spans="1:9" x14ac:dyDescent="0.3">
      <c r="A11" s="11"/>
      <c r="B11" s="11" t="s">
        <v>18</v>
      </c>
      <c r="C11" s="11" t="s">
        <v>19</v>
      </c>
      <c r="D11" s="11" t="s">
        <v>20</v>
      </c>
      <c r="E11" s="11" t="s">
        <v>21</v>
      </c>
      <c r="F11" s="11" t="s">
        <v>22</v>
      </c>
    </row>
    <row r="12" spans="1:9" x14ac:dyDescent="0.3">
      <c r="A12" s="9" t="s">
        <v>14</v>
      </c>
      <c r="B12" s="9">
        <v>5</v>
      </c>
      <c r="C12" s="9">
        <v>57701488.778119631</v>
      </c>
      <c r="D12" s="9">
        <v>11540297.755623925</v>
      </c>
      <c r="E12" s="9">
        <v>3.1275664134850949</v>
      </c>
      <c r="F12" s="9">
        <v>0.11819786924224977</v>
      </c>
    </row>
    <row r="13" spans="1:9" x14ac:dyDescent="0.3">
      <c r="A13" s="9" t="s">
        <v>15</v>
      </c>
      <c r="B13" s="9">
        <v>5</v>
      </c>
      <c r="C13" s="9">
        <v>18449324.858244009</v>
      </c>
      <c r="D13" s="9">
        <v>3689864.971648802</v>
      </c>
      <c r="E13" s="9"/>
      <c r="F13" s="9"/>
    </row>
    <row r="14" spans="1:9" ht="15" thickBot="1" x14ac:dyDescent="0.35">
      <c r="A14" s="10" t="s">
        <v>16</v>
      </c>
      <c r="B14" s="10">
        <v>10</v>
      </c>
      <c r="C14" s="10">
        <v>76150813.63636364</v>
      </c>
      <c r="D14" s="10"/>
      <c r="E14" s="10"/>
      <c r="F14" s="10"/>
    </row>
    <row r="15" spans="1:9" ht="15" thickBot="1" x14ac:dyDescent="0.35"/>
    <row r="16" spans="1:9" x14ac:dyDescent="0.3">
      <c r="A16" s="11"/>
      <c r="B16" s="11" t="s">
        <v>23</v>
      </c>
      <c r="C16" s="11" t="s">
        <v>11</v>
      </c>
      <c r="D16" s="11" t="s">
        <v>24</v>
      </c>
      <c r="E16" s="11" t="s">
        <v>25</v>
      </c>
      <c r="F16" s="11" t="s">
        <v>26</v>
      </c>
      <c r="G16" s="11" t="s">
        <v>27</v>
      </c>
      <c r="H16" s="11" t="s">
        <v>28</v>
      </c>
      <c r="I16" s="11" t="s">
        <v>29</v>
      </c>
    </row>
    <row r="17" spans="1:9" x14ac:dyDescent="0.3">
      <c r="A17" s="9" t="s">
        <v>17</v>
      </c>
      <c r="B17" s="9">
        <v>-1162.9977247601166</v>
      </c>
      <c r="C17" s="9">
        <v>6348.2984794942286</v>
      </c>
      <c r="D17" s="9">
        <v>-0.1831983370846125</v>
      </c>
      <c r="E17" s="9">
        <v>0.86183950588227531</v>
      </c>
      <c r="F17" s="9">
        <v>-17481.818483345618</v>
      </c>
      <c r="G17" s="9">
        <v>15155.823033825385</v>
      </c>
      <c r="H17" s="9">
        <v>-17481.818483345618</v>
      </c>
      <c r="I17" s="9">
        <v>15155.823033825385</v>
      </c>
    </row>
    <row r="18" spans="1:9" x14ac:dyDescent="0.3">
      <c r="A18" s="9" t="s">
        <v>1</v>
      </c>
      <c r="B18" s="9">
        <v>1014.8565572410103</v>
      </c>
      <c r="C18" s="9">
        <v>6991.0158016465803</v>
      </c>
      <c r="D18" s="9">
        <v>0.14516582225461186</v>
      </c>
      <c r="E18" s="9">
        <v>0.89025032932233827</v>
      </c>
      <c r="F18" s="9">
        <v>-16956.121675118138</v>
      </c>
      <c r="G18" s="9">
        <v>18985.834789600161</v>
      </c>
      <c r="H18" s="9">
        <v>-16956.121675118138</v>
      </c>
      <c r="I18" s="9">
        <v>18985.834789600161</v>
      </c>
    </row>
    <row r="19" spans="1:9" x14ac:dyDescent="0.3">
      <c r="A19" s="9" t="s">
        <v>2</v>
      </c>
      <c r="B19" s="9">
        <v>2.9597395299105975</v>
      </c>
      <c r="C19" s="9">
        <v>5.565713747058985</v>
      </c>
      <c r="D19" s="9">
        <v>0.5317807678259725</v>
      </c>
      <c r="E19" s="9">
        <v>0.61764754620564055</v>
      </c>
      <c r="F19" s="9">
        <v>-11.347383130630561</v>
      </c>
      <c r="G19" s="9">
        <v>17.266862190451757</v>
      </c>
      <c r="H19" s="9">
        <v>-11.347383130630561</v>
      </c>
      <c r="I19" s="9">
        <v>17.266862190451757</v>
      </c>
    </row>
    <row r="20" spans="1:9" x14ac:dyDescent="0.3">
      <c r="A20" s="9" t="s">
        <v>3</v>
      </c>
      <c r="B20" s="9">
        <v>59.273360071024619</v>
      </c>
      <c r="C20" s="9">
        <v>112.09995480648391</v>
      </c>
      <c r="D20" s="9">
        <v>0.52875454029706914</v>
      </c>
      <c r="E20" s="9">
        <v>0.61959730771253851</v>
      </c>
      <c r="F20" s="9">
        <v>-228.88874753017473</v>
      </c>
      <c r="G20" s="9">
        <v>347.43546767222398</v>
      </c>
      <c r="H20" s="9">
        <v>-228.88874753017473</v>
      </c>
      <c r="I20" s="9">
        <v>347.43546767222398</v>
      </c>
    </row>
    <row r="21" spans="1:9" x14ac:dyDescent="0.3">
      <c r="A21" s="9" t="s">
        <v>4</v>
      </c>
      <c r="B21" s="9">
        <v>324.25009694001005</v>
      </c>
      <c r="C21" s="9">
        <v>773.5933914419852</v>
      </c>
      <c r="D21" s="9">
        <v>0.41914796652490127</v>
      </c>
      <c r="E21" s="9">
        <v>0.69250613645928727</v>
      </c>
      <c r="F21" s="9">
        <v>-1664.3350232690507</v>
      </c>
      <c r="G21" s="9">
        <v>2312.8352171490706</v>
      </c>
      <c r="H21" s="9">
        <v>-1664.3350232690507</v>
      </c>
      <c r="I21" s="9">
        <v>2312.8352171490706</v>
      </c>
    </row>
    <row r="22" spans="1:9" ht="15" thickBot="1" x14ac:dyDescent="0.35">
      <c r="A22" s="10" t="s">
        <v>5</v>
      </c>
      <c r="B22" s="10">
        <v>-29.128291446125175</v>
      </c>
      <c r="C22" s="10">
        <v>301.13852318436631</v>
      </c>
      <c r="D22" s="10">
        <v>-9.6727217554600065E-2</v>
      </c>
      <c r="E22" s="10">
        <v>0.92670051120883612</v>
      </c>
      <c r="F22" s="10">
        <v>-803.22950915420256</v>
      </c>
      <c r="G22" s="10">
        <v>744.97292626195213</v>
      </c>
      <c r="H22" s="10">
        <v>-803.22950915420256</v>
      </c>
      <c r="I22" s="10">
        <v>744.97292626195213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DC78-868C-42EA-B428-D1D024587A10}">
  <dimension ref="A1:F14"/>
  <sheetViews>
    <sheetView tabSelected="1" workbookViewId="0">
      <selection activeCell="C17" sqref="C17"/>
    </sheetView>
  </sheetViews>
  <sheetFormatPr defaultRowHeight="14.4" x14ac:dyDescent="0.3"/>
  <cols>
    <col min="1" max="1" width="10.44140625" bestFit="1" customWidth="1"/>
    <col min="2" max="2" width="10.6640625" bestFit="1" customWidth="1"/>
    <col min="5" max="5" width="13.109375" bestFit="1" customWidth="1"/>
    <col min="6" max="6" width="12" bestFit="1" customWidth="1"/>
  </cols>
  <sheetData>
    <row r="1" spans="1:6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0.3">
      <c r="A2" s="1">
        <v>1885</v>
      </c>
      <c r="B2" s="5">
        <v>3.27</v>
      </c>
      <c r="C2" s="6">
        <v>88</v>
      </c>
      <c r="D2" s="6">
        <v>0.53</v>
      </c>
      <c r="E2" s="7">
        <v>15.1</v>
      </c>
      <c r="F2" s="7">
        <v>44.6</v>
      </c>
    </row>
    <row r="3" spans="1:6" x14ac:dyDescent="0.3">
      <c r="A3" s="1">
        <v>3530</v>
      </c>
      <c r="B3" s="5">
        <v>4.4960000000000004</v>
      </c>
      <c r="C3" s="6">
        <v>126</v>
      </c>
      <c r="D3" s="6">
        <v>2.81</v>
      </c>
      <c r="E3" s="7">
        <v>18.7</v>
      </c>
      <c r="F3" s="7">
        <v>55.2</v>
      </c>
    </row>
    <row r="4" spans="1:6" x14ac:dyDescent="0.3">
      <c r="A4" s="1">
        <v>4700</v>
      </c>
      <c r="B4" s="5">
        <v>5.5129999999999999</v>
      </c>
      <c r="C4" s="6">
        <v>141</v>
      </c>
      <c r="D4" s="6">
        <v>4.09</v>
      </c>
      <c r="E4" s="7">
        <v>19.7</v>
      </c>
      <c r="F4" s="7">
        <v>60.8</v>
      </c>
    </row>
    <row r="5" spans="1:6" x14ac:dyDescent="0.3">
      <c r="A5" s="1">
        <v>4110</v>
      </c>
      <c r="B5" s="5">
        <v>5.7169999999999996</v>
      </c>
      <c r="C5" s="6">
        <v>151</v>
      </c>
      <c r="D5" s="6">
        <v>10.08</v>
      </c>
      <c r="E5" s="7">
        <v>22.1</v>
      </c>
      <c r="F5" s="7">
        <v>61.4</v>
      </c>
    </row>
    <row r="6" spans="1:6" x14ac:dyDescent="0.3">
      <c r="A6" s="1">
        <v>7350</v>
      </c>
      <c r="B6" s="5">
        <v>7.0570000000000004</v>
      </c>
      <c r="C6" s="6">
        <v>188</v>
      </c>
      <c r="D6" s="6">
        <v>-5.08</v>
      </c>
      <c r="E6" s="7">
        <v>24.6</v>
      </c>
      <c r="F6" s="7">
        <v>66.099999999999994</v>
      </c>
    </row>
    <row r="7" spans="1:6" x14ac:dyDescent="0.3">
      <c r="A7" s="1">
        <v>8400</v>
      </c>
      <c r="B7" s="5">
        <v>7.09</v>
      </c>
      <c r="C7" s="6">
        <v>969</v>
      </c>
      <c r="D7" s="6">
        <v>1.7</v>
      </c>
      <c r="E7" s="7">
        <v>26.2</v>
      </c>
      <c r="F7" s="7">
        <v>65.3</v>
      </c>
    </row>
    <row r="8" spans="1:6" x14ac:dyDescent="0.3">
      <c r="A8" s="1">
        <v>9080</v>
      </c>
      <c r="B8" s="5">
        <v>9.3580000000000005</v>
      </c>
      <c r="C8" s="6">
        <v>1190</v>
      </c>
      <c r="D8" s="6">
        <v>2.54</v>
      </c>
      <c r="E8" s="7">
        <v>32</v>
      </c>
      <c r="F8" s="7">
        <v>73.2</v>
      </c>
    </row>
    <row r="9" spans="1:6" x14ac:dyDescent="0.3">
      <c r="A9" s="1">
        <v>11180</v>
      </c>
      <c r="B9" s="5">
        <v>7.1070000000000002</v>
      </c>
      <c r="C9" s="6">
        <v>918</v>
      </c>
      <c r="D9" s="6">
        <v>19.989999999999998</v>
      </c>
      <c r="E9" s="7">
        <v>24.6</v>
      </c>
      <c r="F9" s="7">
        <v>63.4</v>
      </c>
    </row>
    <row r="10" spans="1:6" x14ac:dyDescent="0.3">
      <c r="A10" s="1">
        <v>8360</v>
      </c>
      <c r="B10" s="5">
        <v>5.9580000000000002</v>
      </c>
      <c r="C10" s="6">
        <v>838</v>
      </c>
      <c r="D10" s="6">
        <v>15.3</v>
      </c>
      <c r="E10" s="7">
        <v>23.1</v>
      </c>
      <c r="F10" s="7">
        <v>60.6</v>
      </c>
    </row>
    <row r="11" spans="1:6" x14ac:dyDescent="0.3">
      <c r="A11" s="1">
        <v>7400</v>
      </c>
      <c r="B11" s="5">
        <v>5.8639999999999999</v>
      </c>
      <c r="C11" s="6">
        <v>766</v>
      </c>
      <c r="D11" s="6">
        <v>12.12</v>
      </c>
      <c r="E11" s="7">
        <v>23.1</v>
      </c>
      <c r="F11" s="7">
        <v>65.400000000000006</v>
      </c>
    </row>
    <row r="12" spans="1:6" x14ac:dyDescent="0.3">
      <c r="A12" s="1">
        <v>6460</v>
      </c>
      <c r="B12" s="5">
        <v>6.0730000000000004</v>
      </c>
      <c r="C12" s="6">
        <v>776</v>
      </c>
      <c r="D12" s="6">
        <v>22.28</v>
      </c>
      <c r="E12" s="7">
        <v>24.3</v>
      </c>
      <c r="F12" s="7">
        <v>71.5</v>
      </c>
    </row>
    <row r="14" spans="1:6" x14ac:dyDescent="0.3">
      <c r="B14" s="8">
        <f>CORREL($A$2:$A$12,B2:B12)</f>
        <v>0.80995917167518205</v>
      </c>
      <c r="C14" s="8">
        <f>CORREL($A$2:$A$12,C2:C12)</f>
        <v>0.83613607279082292</v>
      </c>
      <c r="D14" s="8">
        <f t="shared" ref="C14:F14" si="0">CORREL($A$2:$A$12,D2:D12)</f>
        <v>0.36460657423356857</v>
      </c>
      <c r="E14" s="8">
        <f t="shared" si="0"/>
        <v>0.79383140146047282</v>
      </c>
      <c r="F14" s="8">
        <f t="shared" si="0"/>
        <v>0.69257980460652679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Main_Data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Heidy</dc:creator>
  <cp:lastModifiedBy>Vanessa Heidy</cp:lastModifiedBy>
  <dcterms:created xsi:type="dcterms:W3CDTF">2025-11-24T17:26:25Z</dcterms:created>
  <dcterms:modified xsi:type="dcterms:W3CDTF">2025-11-24T18:51:38Z</dcterms:modified>
</cp:coreProperties>
</file>